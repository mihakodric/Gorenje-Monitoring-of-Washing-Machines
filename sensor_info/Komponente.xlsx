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kodric_fs1_uni-lj_si/Documents/Industrija/2025/Gorenje - merilni sistem za analizo pralnega stroja/"/>
    </mc:Choice>
  </mc:AlternateContent>
  <xr:revisionPtr revIDLastSave="326" documentId="8_{02535002-391B-45F3-81FF-77BD52365CED}" xr6:coauthVersionLast="47" xr6:coauthVersionMax="47" xr10:uidLastSave="{D4F5C8C5-851D-4585-8EF4-65D2B27A20A3}"/>
  <bookViews>
    <workbookView xWindow="-120" yWindow="-120" windowWidth="38640" windowHeight="21120" xr2:uid="{54B9AAE1-3166-420D-AC71-D7736CFF4479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H10" i="1"/>
  <c r="H23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  <c r="H25" i="1" l="1"/>
</calcChain>
</file>

<file path=xl/sharedStrings.xml><?xml version="1.0" encoding="utf-8"?>
<sst xmlns="http://schemas.openxmlformats.org/spreadsheetml/2006/main" count="111" uniqueCount="84">
  <si>
    <t>Merilna zaznavala za merjenje fizikalnih veličin pri trajnostnem testiranju prlnih strojev.</t>
  </si>
  <si>
    <t>Fizikalna veličina</t>
  </si>
  <si>
    <t>Merilno zaznavalo</t>
  </si>
  <si>
    <t>Groba lokacija</t>
  </si>
  <si>
    <t>Fina lokacija</t>
  </si>
  <si>
    <t xml:space="preserve">Povezava </t>
  </si>
  <si>
    <t>Št kosov</t>
  </si>
  <si>
    <t>Cena</t>
  </si>
  <si>
    <t>Skupaj cena</t>
  </si>
  <si>
    <t>Komentarji</t>
  </si>
  <si>
    <t>Pospešek</t>
  </si>
  <si>
    <t>Pospeškomer</t>
  </si>
  <si>
    <t>Pospeški in pomiki na ohišju pralnega stroja</t>
  </si>
  <si>
    <t>Leva stranica</t>
  </si>
  <si>
    <t>https://www.dfrobot.com/product-2337.html</t>
  </si>
  <si>
    <t>https://gtfrobots.com/product/3-axis-mems-usb-accelerometer/</t>
  </si>
  <si>
    <t>Pokrov</t>
  </si>
  <si>
    <t>Desni stranica</t>
  </si>
  <si>
    <t>Desna stran čelne plošče</t>
  </si>
  <si>
    <t>Pospeški in pomiki na grupi pralnega stroja</t>
  </si>
  <si>
    <t>Skrajna zgornja točka grupe</t>
  </si>
  <si>
    <t>Skrajna spodnja točka grupe</t>
  </si>
  <si>
    <t>Pesto (v bližini ležaja)</t>
  </si>
  <si>
    <t>Razdalja</t>
  </si>
  <si>
    <t>Laserski merilnik razdalje</t>
  </si>
  <si>
    <t>Razdalja med grupo pralnega stroja in dozirno posodo pralnega stroja</t>
  </si>
  <si>
    <t>Na mestu, kjer se grupa dotakne dozirne posode pri nadpovprečni obremenitvi (čisti ekscenter, deviacija) v pralnem stroju.</t>
  </si>
  <si>
    <t>https://www.dfrobot.com/product-2287.html</t>
  </si>
  <si>
    <t>https://www.alibaba.com/product-detail/Square-compact-industrial-automation-multi-function_1600901245208.html?spm=a27aq.29918103.4207392620.1.5c5750dfR0GN94</t>
  </si>
  <si>
    <t>Premik nogice pralnega stroja</t>
  </si>
  <si>
    <t>Štiri nogice pralnega stroja 4x2</t>
  </si>
  <si>
    <t>https://www.dfrobot.com/product-2462.html</t>
  </si>
  <si>
    <t>Temperatura</t>
  </si>
  <si>
    <t>Termopar</t>
  </si>
  <si>
    <t>Elektro motor</t>
  </si>
  <si>
    <t>Ohišje elektro motorja pralnega stroja</t>
  </si>
  <si>
    <t>https://www.dfrobot.com/product-1495.html</t>
  </si>
  <si>
    <t>https://www.amazon.com/Kiro-Seeu-Thermocouple-Temperature-Compatible/dp/B09B267DRP/ref=vse_cards_0?_encoding=UTF8&amp;pd_rd_w=5JWcC&amp;content-id=amzn1.sym.26dedd2b-540b-4bff-af75-7fea8d8f8913&amp;pf_rd_p=26dedd2b-540b-4bff-af75-7fea8d8f8913&amp;pf_rd_r=VAZ3YFQ71EWV4JSVPTN7&amp;pd_rd_wg=9Jbbr&amp;pd_rd_r=c2afaf0b-86b1-420d-8172-a51e7ee21d06</t>
  </si>
  <si>
    <t>Pralna grupa</t>
  </si>
  <si>
    <t>https://www.dfrobot.com/product-1354.html</t>
  </si>
  <si>
    <t>Dušilke</t>
  </si>
  <si>
    <t>V blažilcih pralnega stroja</t>
  </si>
  <si>
    <t>Elektirčni tok</t>
  </si>
  <si>
    <t>Tokovne klešče</t>
  </si>
  <si>
    <t>Napajalni kabel</t>
  </si>
  <si>
    <t>https://www.dfrobot.com/product-1486.html</t>
  </si>
  <si>
    <t>https://eu.mouser.com/ProductDetail/Seeed-Studio/101020027?qs=1%252B9yuXKSi8BBcHIjAU5rOg%3D%3D</t>
  </si>
  <si>
    <t>Električna moč</t>
  </si>
  <si>
    <t>Power meter</t>
  </si>
  <si>
    <t>Električna vtičnica</t>
  </si>
  <si>
    <t>Pretok vode</t>
  </si>
  <si>
    <t>Pretični člen</t>
  </si>
  <si>
    <t>Dovodna cev</t>
  </si>
  <si>
    <t>https://www.dfrobot.com/product-2609.html</t>
  </si>
  <si>
    <t>Odvodna cev</t>
  </si>
  <si>
    <t>Sila</t>
  </si>
  <si>
    <t>V vzmeteh pralnega stroja</t>
  </si>
  <si>
    <t>4 kosi, na skrajšanjih vzmeteh</t>
  </si>
  <si>
    <t>https://vi.aliexpress.com/item/1005006069877678.html?gatewayAdapt=glo2vnm</t>
  </si>
  <si>
    <t>https://weightechusa.com/zemic-h3g-s-type-load-cell?srsltid=AfmBOorraOmEQClpIAfPzBktCePwqVTmaMyQG1yu0YmMF-yqahHcfxn0</t>
  </si>
  <si>
    <t>http://www.forsentek.com/prodetail_300.html</t>
  </si>
  <si>
    <t>Hitrost vrtenja</t>
  </si>
  <si>
    <t>Laserski merilnik obratov</t>
  </si>
  <si>
    <t>Na jermenici</t>
  </si>
  <si>
    <t>https://si.farnell.com/seeed-studio/101020174/sensor-board-arduino-raspberry/dp/4007697</t>
  </si>
  <si>
    <t>https://www.monsterhopups.de/Flysky-FS033-Speed-sensor-optical-CPD02-ibus?srsltid=AfmBOoqCNtGcV4zOM43TKcNB-D1k0XUFL9UAM-I39SaWgj-74WqA_CC0</t>
  </si>
  <si>
    <t>Komunikacija</t>
  </si>
  <si>
    <t>ESP32</t>
  </si>
  <si>
    <t>https://si.farnell.com/dfrobot/dfr0478/firebeetle-esp32-iot-mcu-arduino/dp/3517881</t>
  </si>
  <si>
    <t>Skupaj</t>
  </si>
  <si>
    <t>Kosov</t>
  </si>
  <si>
    <t>Povezava</t>
  </si>
  <si>
    <t>https://eu.mouser.com/ProductDetail/DFRobot/SEN0405?qs=pBJMDPsKWf2YFbjUTIHzJg%3D%3D</t>
  </si>
  <si>
    <t>https://eu.mouser.com/ProductDetail/DFRobot/SEN0427?qs=sGAEpiMZZMuqBwn8WqcFUipNgoezRlc46yePfC43jxJvfEOSJAWbTQ%3D%3D</t>
  </si>
  <si>
    <t>https://eu.mouser.com/ProductDetail/DFRobot/SEN0206?qs=lqAf%2FiVYw9iMhj64mAUSrw%3D%3D</t>
  </si>
  <si>
    <t>El tok</t>
  </si>
  <si>
    <t>https://eu.mouser.com/ProductDetail/DFRobot/SEN0211?qs=lqAf%2FiVYw9hjsLDR5pIEyg%3D%3D</t>
  </si>
  <si>
    <t>Pretok</t>
  </si>
  <si>
    <t>https://eu.mouser.com/ProductDetail/DFRobot/SEN0551?qs=Jm2GQyTW%2FbgMd%2FoqccHBGQ%3D%3D</t>
  </si>
  <si>
    <t>Vrtljaji</t>
  </si>
  <si>
    <t>https://eu.mouser.com/ProductDetail/Seeed-Studio/101020174?qs=EU6FO9ffTwff5g3VsVaZ3Q%3D%3D</t>
  </si>
  <si>
    <t>Naroči še vsaj 4</t>
  </si>
  <si>
    <t>ESP32-DevKitC-VIE Espressif Systems | Mouser Europe</t>
  </si>
  <si>
    <t>Naroči še vsaj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</si>
</sst>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0" fillId="3" borderId="7" xfId="0" applyFill="1" applyBorder="1"/>
    <xf numFmtId="0" fontId="0" fillId="4" borderId="3" xfId="0" applyFill="1" applyBorder="1"/>
    <xf numFmtId="0" fontId="0" fillId="4" borderId="7" xfId="0" applyFill="1" applyBorder="1"/>
    <xf numFmtId="0" fontId="0" fillId="5" borderId="3" xfId="0" applyFill="1" applyBorder="1"/>
    <xf numFmtId="0" fontId="0" fillId="5" borderId="1" xfId="0" applyFill="1" applyBorder="1"/>
    <xf numFmtId="0" fontId="0" fillId="5" borderId="7" xfId="0" applyFill="1" applyBorder="1"/>
    <xf numFmtId="0" fontId="0" fillId="6" borderId="10" xfId="0" applyFill="1" applyBorder="1"/>
    <xf numFmtId="0" fontId="0" fillId="7" borderId="10" xfId="0" applyFill="1" applyBorder="1"/>
    <xf numFmtId="0" fontId="0" fillId="8" borderId="3" xfId="0" applyFill="1" applyBorder="1"/>
    <xf numFmtId="0" fontId="0" fillId="8" borderId="7" xfId="0" applyFill="1" applyBorder="1"/>
    <xf numFmtId="0" fontId="0" fillId="2" borderId="10" xfId="0" applyFill="1" applyBorder="1"/>
    <xf numFmtId="0" fontId="0" fillId="2" borderId="18" xfId="0" applyFill="1" applyBorder="1"/>
    <xf numFmtId="0" fontId="0" fillId="2" borderId="19" xfId="0" applyFill="1" applyBorder="1"/>
    <xf numFmtId="0" fontId="0" fillId="3" borderId="19" xfId="0" applyFill="1" applyBorder="1"/>
    <xf numFmtId="0" fontId="0" fillId="3" borderId="20" xfId="0" applyFill="1" applyBorder="1"/>
    <xf numFmtId="0" fontId="0" fillId="4" borderId="18" xfId="0" applyFill="1" applyBorder="1"/>
    <xf numFmtId="0" fontId="0" fillId="4" borderId="20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6" borderId="21" xfId="0" applyFill="1" applyBorder="1"/>
    <xf numFmtId="0" fontId="0" fillId="7" borderId="21" xfId="0" applyFill="1" applyBorder="1"/>
    <xf numFmtId="0" fontId="0" fillId="8" borderId="18" xfId="0" applyFill="1" applyBorder="1"/>
    <xf numFmtId="0" fontId="0" fillId="8" borderId="20" xfId="0" applyFill="1" applyBorder="1"/>
    <xf numFmtId="0" fontId="0" fillId="2" borderId="21" xfId="0" applyFill="1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2" fillId="0" borderId="9" xfId="0" applyFont="1" applyBorder="1"/>
    <xf numFmtId="0" fontId="2" fillId="0" borderId="10" xfId="0" applyFont="1" applyBorder="1"/>
    <xf numFmtId="0" fontId="2" fillId="0" borderId="21" xfId="0" applyFont="1" applyBorder="1"/>
    <xf numFmtId="0" fontId="2" fillId="0" borderId="11" xfId="0" applyFont="1" applyBorder="1"/>
    <xf numFmtId="0" fontId="1" fillId="0" borderId="3" xfId="1" applyBorder="1"/>
    <xf numFmtId="0" fontId="0" fillId="0" borderId="3" xfId="0" applyBorder="1"/>
    <xf numFmtId="0" fontId="1" fillId="0" borderId="4" xfId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1" fillId="0" borderId="10" xfId="1" applyBorder="1"/>
    <xf numFmtId="0" fontId="1" fillId="0" borderId="7" xfId="1" applyBorder="1"/>
    <xf numFmtId="0" fontId="1" fillId="0" borderId="0" xfId="1" applyBorder="1"/>
    <xf numFmtId="0" fontId="0" fillId="6" borderId="9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5" xfId="0" applyFill="1" applyBorder="1"/>
    <xf numFmtId="0" fontId="0" fillId="3" borderId="22" xfId="0" applyFill="1" applyBorder="1"/>
    <xf numFmtId="0" fontId="1" fillId="0" borderId="15" xfId="1" applyBorder="1"/>
    <xf numFmtId="0" fontId="0" fillId="0" borderId="15" xfId="0" applyBorder="1"/>
    <xf numFmtId="0" fontId="1" fillId="0" borderId="23" xfId="1" applyBorder="1"/>
    <xf numFmtId="0" fontId="3" fillId="9" borderId="9" xfId="0" applyFont="1" applyFill="1" applyBorder="1"/>
    <xf numFmtId="0" fontId="3" fillId="9" borderId="10" xfId="0" applyFont="1" applyFill="1" applyBorder="1"/>
    <xf numFmtId="0" fontId="3" fillId="9" borderId="11" xfId="0" applyFont="1" applyFill="1" applyBorder="1"/>
    <xf numFmtId="0" fontId="1" fillId="0" borderId="0" xfId="1"/>
    <xf numFmtId="0" fontId="1" fillId="9" borderId="10" xfId="1" applyFill="1" applyBorder="1"/>
    <xf numFmtId="0" fontId="1" fillId="0" borderId="5" xfId="1" applyBorder="1"/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</cellXfs>
  <cellStyles count="2">
    <cellStyle name="Hiperpovezava" xfId="1" builtinId="8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frobot.com/product-2337.html" TargetMode="External"/><Relationship Id="rId13" Type="http://schemas.openxmlformats.org/officeDocument/2006/relationships/hyperlink" Target="https://si.farnell.com/dfrobot/dfr0478/firebeetle-esp32-iot-mcu-arduino/dp/3517881" TargetMode="External"/><Relationship Id="rId18" Type="http://schemas.openxmlformats.org/officeDocument/2006/relationships/hyperlink" Target="https://eu.mouser.com/ProductDetail/DFRobot/SEN0427?qs=sGAEpiMZZMuqBwn8WqcFUipNgoezRlc46yePfC43jxJvfEOSJAWbTQ%3D%3D" TargetMode="External"/><Relationship Id="rId3" Type="http://schemas.openxmlformats.org/officeDocument/2006/relationships/hyperlink" Target="https://gtfrobots.com/product/3-axis-mems-usb-accelerometer/" TargetMode="External"/><Relationship Id="rId21" Type="http://schemas.openxmlformats.org/officeDocument/2006/relationships/hyperlink" Target="https://eu.mouser.com/ProductDetail/DFRobot/SEN0551?qs=Jm2GQyTW%2FbgMd%2FoqccHBGQ%3D%3D" TargetMode="External"/><Relationship Id="rId7" Type="http://schemas.openxmlformats.org/officeDocument/2006/relationships/hyperlink" Target="https://vi.aliexpress.com/item/1005006069877678.html?gatewayAdapt=glo2vnm" TargetMode="External"/><Relationship Id="rId12" Type="http://schemas.openxmlformats.org/officeDocument/2006/relationships/hyperlink" Target="https://eu.mouser.com/ProductDetail/Seeed-Studio/101020027?qs=1%252B9yuXKSi8BBcHIjAU5rOg%3D%3D" TargetMode="External"/><Relationship Id="rId17" Type="http://schemas.openxmlformats.org/officeDocument/2006/relationships/hyperlink" Target="https://eu.mouser.com/ProductDetail/DFRobot/SEN0405?qs=pBJMDPsKWf2YFbjUTIHzJg%3D%3D" TargetMode="External"/><Relationship Id="rId2" Type="http://schemas.openxmlformats.org/officeDocument/2006/relationships/hyperlink" Target="https://www.dfrobot.com/product-2609.html" TargetMode="External"/><Relationship Id="rId16" Type="http://schemas.openxmlformats.org/officeDocument/2006/relationships/hyperlink" Target="https://www.dfrobot.com/product-1495.html" TargetMode="External"/><Relationship Id="rId20" Type="http://schemas.openxmlformats.org/officeDocument/2006/relationships/hyperlink" Target="https://eu.mouser.com/ProductDetail/DFRobot/SEN0211?qs=lqAf%2FiVYw9hjsLDR5pIEyg%3D%3D" TargetMode="External"/><Relationship Id="rId1" Type="http://schemas.openxmlformats.org/officeDocument/2006/relationships/hyperlink" Target="https://www.dfrobot.com/product-1486.html" TargetMode="External"/><Relationship Id="rId6" Type="http://schemas.openxmlformats.org/officeDocument/2006/relationships/hyperlink" Target="https://www.dfrobot.com/product-1486.html" TargetMode="External"/><Relationship Id="rId11" Type="http://schemas.openxmlformats.org/officeDocument/2006/relationships/hyperlink" Target="https://eu.mouser.com/ProductDetail/Seeed-Studio/101020027?qs=1%252B9yuXKSi8BBcHIjAU5rOg%3D%3D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monsterhopups.de/Flysky-FS033-Speed-sensor-optical-CPD02-ibus?srsltid=AfmBOoqCNtGcV4zOM43TKcNB-D1k0XUFL9UAM-I39SaWgj-74WqA_CC0" TargetMode="External"/><Relationship Id="rId15" Type="http://schemas.openxmlformats.org/officeDocument/2006/relationships/hyperlink" Target="https://www.dfrobot.com/product-2287.html" TargetMode="External"/><Relationship Id="rId23" Type="http://schemas.openxmlformats.org/officeDocument/2006/relationships/hyperlink" Target="https://eu.mouser.com/ProductDetail/Espressif-Systems/ESP32-DevKitC-VIE?qs=vmHwEFxEFR%252B9L5ZhUgeToA%3D%3D&amp;countryCode=DE&amp;currencyCode=EUR" TargetMode="External"/><Relationship Id="rId10" Type="http://schemas.openxmlformats.org/officeDocument/2006/relationships/hyperlink" Target="https://www.dfrobot.com/product-2462.html" TargetMode="External"/><Relationship Id="rId19" Type="http://schemas.openxmlformats.org/officeDocument/2006/relationships/hyperlink" Target="https://eu.mouser.com/ProductDetail/DFRobot/SEN0206?qs=lqAf%2FiVYw9iMhj64mAUSrw%3D%3D" TargetMode="External"/><Relationship Id="rId4" Type="http://schemas.openxmlformats.org/officeDocument/2006/relationships/hyperlink" Target="https://www.amazon.com/Kiro-Seeu-Thermocouple-Temperature-Compatible/dp/B09B267DRP/ref=vse_cards_0?_encoding=UTF8&amp;pd_rd_w=5JWcC&amp;content-id=amzn1.sym.26dedd2b-540b-4bff-af75-7fea8d8f8913&amp;pf_rd_p=26dedd2b-540b-4bff-af75-7fea8d8f8913&amp;pf_rd_r=VAZ3YFQ71EWV4JSVPTN7&amp;pd_rd_wg=9Jbbr&amp;pd_rd_r=c2afaf0b-86b1-420d-8172-a51e7ee21d06" TargetMode="External"/><Relationship Id="rId9" Type="http://schemas.openxmlformats.org/officeDocument/2006/relationships/hyperlink" Target="https://www.alibaba.com/product-detail/Square-compact-industrial-automation-multi-function_1600901245208.html?spm=a27aq.29918103.4207392620.1.5c5750dfR0GN94" TargetMode="External"/><Relationship Id="rId14" Type="http://schemas.openxmlformats.org/officeDocument/2006/relationships/hyperlink" Target="https://si.farnell.com/seeed-studio/101020174/sensor-board-arduino-raspberry/dp/4007697" TargetMode="External"/><Relationship Id="rId22" Type="http://schemas.openxmlformats.org/officeDocument/2006/relationships/hyperlink" Target="https://eu.mouser.com/ProductDetail/Seeed-Studio/101020174?qs=EU6FO9ffTwff5g3VsVaZ3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2124-8353-49F6-B15D-8766CA639D24}">
  <dimension ref="A1:K36"/>
  <sheetViews>
    <sheetView tabSelected="1" topLeftCell="B1" zoomScale="115" zoomScaleNormal="115" workbookViewId="0">
      <selection activeCell="C32" sqref="C32"/>
    </sheetView>
  </sheetViews>
  <sheetFormatPr defaultRowHeight="15" x14ac:dyDescent="0.25"/>
  <cols>
    <col min="1" max="1" width="16.7109375" customWidth="1"/>
    <col min="2" max="2" width="24" bestFit="1" customWidth="1"/>
    <col min="3" max="3" width="64.5703125" bestFit="1" customWidth="1"/>
    <col min="4" max="4" width="36.140625" customWidth="1"/>
    <col min="5" max="5" width="52.28515625" customWidth="1"/>
    <col min="6" max="6" width="13.5703125" customWidth="1"/>
    <col min="8" max="8" width="9.85546875" customWidth="1"/>
    <col min="9" max="9" width="20.5703125" customWidth="1"/>
  </cols>
  <sheetData>
    <row r="1" spans="1:9" x14ac:dyDescent="0.25">
      <c r="A1" t="s">
        <v>0</v>
      </c>
    </row>
    <row r="2" spans="1:9" ht="15.75" thickBot="1" x14ac:dyDescent="0.3"/>
    <row r="3" spans="1:9" ht="15.75" thickBot="1" x14ac:dyDescent="0.3">
      <c r="A3" s="32" t="s">
        <v>1</v>
      </c>
      <c r="B3" s="33" t="s">
        <v>2</v>
      </c>
      <c r="C3" s="33" t="s">
        <v>3</v>
      </c>
      <c r="D3" s="34" t="s">
        <v>4</v>
      </c>
      <c r="E3" s="33" t="s">
        <v>5</v>
      </c>
      <c r="F3" s="33" t="s">
        <v>6</v>
      </c>
      <c r="G3" s="33" t="s">
        <v>7</v>
      </c>
      <c r="H3" s="33" t="s">
        <v>8</v>
      </c>
      <c r="I3" s="35" t="s">
        <v>9</v>
      </c>
    </row>
    <row r="4" spans="1:9" x14ac:dyDescent="0.25">
      <c r="A4" s="69" t="s">
        <v>10</v>
      </c>
      <c r="B4" s="72" t="s">
        <v>11</v>
      </c>
      <c r="C4" s="3" t="s">
        <v>12</v>
      </c>
      <c r="D4" s="15" t="s">
        <v>13</v>
      </c>
      <c r="E4" s="36" t="s">
        <v>14</v>
      </c>
      <c r="F4" s="37">
        <v>1</v>
      </c>
      <c r="G4" s="37">
        <v>4</v>
      </c>
      <c r="H4" s="37">
        <f>F4*G4</f>
        <v>4</v>
      </c>
      <c r="I4" s="38" t="s">
        <v>15</v>
      </c>
    </row>
    <row r="5" spans="1:9" x14ac:dyDescent="0.25">
      <c r="A5" s="70"/>
      <c r="B5" s="73"/>
      <c r="C5" s="1" t="s">
        <v>12</v>
      </c>
      <c r="D5" s="16" t="s">
        <v>16</v>
      </c>
      <c r="E5" s="29" t="s">
        <v>14</v>
      </c>
      <c r="F5" s="29">
        <v>1</v>
      </c>
      <c r="G5" s="29">
        <v>4</v>
      </c>
      <c r="H5" s="29">
        <f t="shared" ref="H5:H23" si="0">F5*G5</f>
        <v>4</v>
      </c>
      <c r="I5" s="39"/>
    </row>
    <row r="6" spans="1:9" x14ac:dyDescent="0.25">
      <c r="A6" s="70"/>
      <c r="B6" s="73"/>
      <c r="C6" s="1" t="s">
        <v>12</v>
      </c>
      <c r="D6" s="16" t="s">
        <v>17</v>
      </c>
      <c r="E6" s="29" t="s">
        <v>14</v>
      </c>
      <c r="F6" s="29">
        <v>1</v>
      </c>
      <c r="G6" s="29">
        <v>4</v>
      </c>
      <c r="H6" s="29">
        <f t="shared" si="0"/>
        <v>4</v>
      </c>
      <c r="I6" s="39"/>
    </row>
    <row r="7" spans="1:9" x14ac:dyDescent="0.25">
      <c r="A7" s="70"/>
      <c r="B7" s="73"/>
      <c r="C7" s="1" t="s">
        <v>12</v>
      </c>
      <c r="D7" s="16" t="s">
        <v>18</v>
      </c>
      <c r="E7" s="29" t="s">
        <v>14</v>
      </c>
      <c r="F7" s="29">
        <v>1</v>
      </c>
      <c r="G7" s="29">
        <v>4</v>
      </c>
      <c r="H7" s="29">
        <f t="shared" si="0"/>
        <v>4</v>
      </c>
      <c r="I7" s="39"/>
    </row>
    <row r="8" spans="1:9" x14ac:dyDescent="0.25">
      <c r="A8" s="70"/>
      <c r="B8" s="73"/>
      <c r="C8" s="2" t="s">
        <v>19</v>
      </c>
      <c r="D8" s="17" t="s">
        <v>20</v>
      </c>
      <c r="E8" s="29" t="s">
        <v>14</v>
      </c>
      <c r="F8" s="29">
        <v>1</v>
      </c>
      <c r="G8" s="29">
        <v>4</v>
      </c>
      <c r="H8" s="29">
        <f t="shared" si="0"/>
        <v>4</v>
      </c>
      <c r="I8" s="39"/>
    </row>
    <row r="9" spans="1:9" x14ac:dyDescent="0.25">
      <c r="A9" s="70"/>
      <c r="B9" s="73"/>
      <c r="C9" s="2" t="s">
        <v>19</v>
      </c>
      <c r="D9" s="17" t="s">
        <v>21</v>
      </c>
      <c r="E9" s="29" t="s">
        <v>14</v>
      </c>
      <c r="F9" s="29">
        <v>1</v>
      </c>
      <c r="G9" s="29">
        <v>4</v>
      </c>
      <c r="H9" s="29">
        <f t="shared" si="0"/>
        <v>4</v>
      </c>
      <c r="I9" s="39"/>
    </row>
    <row r="10" spans="1:9" ht="15.75" thickBot="1" x14ac:dyDescent="0.3">
      <c r="A10" s="71"/>
      <c r="B10" s="74"/>
      <c r="C10" s="4" t="s">
        <v>19</v>
      </c>
      <c r="D10" s="18" t="s">
        <v>22</v>
      </c>
      <c r="E10" s="40" t="s">
        <v>14</v>
      </c>
      <c r="F10" s="40">
        <v>1</v>
      </c>
      <c r="G10" s="40">
        <v>4</v>
      </c>
      <c r="H10" s="40">
        <f>F10*G10</f>
        <v>4</v>
      </c>
      <c r="I10" s="41"/>
    </row>
    <row r="11" spans="1:9" x14ac:dyDescent="0.25">
      <c r="A11" s="75" t="s">
        <v>23</v>
      </c>
      <c r="B11" s="77" t="s">
        <v>24</v>
      </c>
      <c r="C11" s="5" t="s">
        <v>25</v>
      </c>
      <c r="D11" s="19" t="s">
        <v>26</v>
      </c>
      <c r="E11" s="45" t="s">
        <v>27</v>
      </c>
      <c r="F11" s="37">
        <v>1</v>
      </c>
      <c r="G11" s="37">
        <v>7</v>
      </c>
      <c r="H11" s="37">
        <f t="shared" si="0"/>
        <v>7</v>
      </c>
      <c r="I11" s="45" t="s">
        <v>28</v>
      </c>
    </row>
    <row r="12" spans="1:9" ht="15.75" thickBot="1" x14ac:dyDescent="0.3">
      <c r="A12" s="76"/>
      <c r="B12" s="78"/>
      <c r="C12" s="6" t="s">
        <v>29</v>
      </c>
      <c r="D12" s="20" t="s">
        <v>30</v>
      </c>
      <c r="E12" s="44" t="s">
        <v>31</v>
      </c>
      <c r="F12" s="40">
        <v>8</v>
      </c>
      <c r="G12" s="40">
        <v>13</v>
      </c>
      <c r="H12" s="40">
        <f t="shared" si="0"/>
        <v>104</v>
      </c>
      <c r="I12" s="41"/>
    </row>
    <row r="13" spans="1:9" x14ac:dyDescent="0.25">
      <c r="A13" s="79" t="s">
        <v>32</v>
      </c>
      <c r="B13" s="82" t="s">
        <v>33</v>
      </c>
      <c r="C13" s="7" t="s">
        <v>34</v>
      </c>
      <c r="D13" s="21" t="s">
        <v>35</v>
      </c>
      <c r="E13" s="36" t="s">
        <v>36</v>
      </c>
      <c r="F13" s="37">
        <v>1</v>
      </c>
      <c r="G13" s="37">
        <v>19</v>
      </c>
      <c r="H13" s="37">
        <f t="shared" si="0"/>
        <v>19</v>
      </c>
      <c r="I13" s="38" t="s">
        <v>37</v>
      </c>
    </row>
    <row r="14" spans="1:9" x14ac:dyDescent="0.25">
      <c r="A14" s="80"/>
      <c r="B14" s="83"/>
      <c r="C14" s="8" t="s">
        <v>38</v>
      </c>
      <c r="D14" s="22" t="s">
        <v>20</v>
      </c>
      <c r="E14" s="29" t="s">
        <v>39</v>
      </c>
      <c r="F14" s="29">
        <v>1</v>
      </c>
      <c r="G14" s="29">
        <v>19</v>
      </c>
      <c r="H14" s="29">
        <f t="shared" si="0"/>
        <v>19</v>
      </c>
      <c r="I14" s="68" t="s">
        <v>39</v>
      </c>
    </row>
    <row r="15" spans="1:9" x14ac:dyDescent="0.25">
      <c r="A15" s="80"/>
      <c r="B15" s="83"/>
      <c r="C15" s="8" t="s">
        <v>38</v>
      </c>
      <c r="D15" s="22" t="s">
        <v>21</v>
      </c>
      <c r="E15" s="29" t="s">
        <v>39</v>
      </c>
      <c r="F15" s="29">
        <v>1</v>
      </c>
      <c r="G15" s="29">
        <v>19</v>
      </c>
      <c r="H15" s="29">
        <f t="shared" si="0"/>
        <v>19</v>
      </c>
      <c r="I15" s="39"/>
    </row>
    <row r="16" spans="1:9" ht="15.75" thickBot="1" x14ac:dyDescent="0.3">
      <c r="A16" s="81"/>
      <c r="B16" s="84"/>
      <c r="C16" s="9" t="s">
        <v>40</v>
      </c>
      <c r="D16" s="23" t="s">
        <v>41</v>
      </c>
      <c r="E16" s="40" t="s">
        <v>39</v>
      </c>
      <c r="F16" s="40">
        <v>4</v>
      </c>
      <c r="G16" s="40">
        <v>19</v>
      </c>
      <c r="H16" s="40">
        <f t="shared" si="0"/>
        <v>76</v>
      </c>
      <c r="I16" s="41"/>
    </row>
    <row r="17" spans="1:11" x14ac:dyDescent="0.25">
      <c r="A17" s="46" t="s">
        <v>42</v>
      </c>
      <c r="B17" s="47" t="s">
        <v>43</v>
      </c>
      <c r="C17" s="10" t="s">
        <v>44</v>
      </c>
      <c r="D17" s="24" t="s">
        <v>44</v>
      </c>
      <c r="E17" s="43" t="s">
        <v>45</v>
      </c>
      <c r="F17" s="30">
        <v>1</v>
      </c>
      <c r="G17" s="30">
        <v>20</v>
      </c>
      <c r="H17" s="30">
        <f t="shared" si="0"/>
        <v>20</v>
      </c>
      <c r="I17" s="66" t="s">
        <v>46</v>
      </c>
    </row>
    <row r="18" spans="1:11" x14ac:dyDescent="0.25">
      <c r="A18" s="48" t="s">
        <v>47</v>
      </c>
      <c r="B18" s="49" t="s">
        <v>48</v>
      </c>
      <c r="C18" s="11" t="s">
        <v>49</v>
      </c>
      <c r="D18" s="25" t="s">
        <v>49</v>
      </c>
      <c r="E18" s="43" t="s">
        <v>45</v>
      </c>
      <c r="F18" s="30">
        <v>1</v>
      </c>
      <c r="G18" s="30">
        <v>20</v>
      </c>
      <c r="H18" s="30">
        <f t="shared" si="0"/>
        <v>20</v>
      </c>
      <c r="I18" s="66" t="s">
        <v>46</v>
      </c>
    </row>
    <row r="19" spans="1:11" x14ac:dyDescent="0.25">
      <c r="A19" s="50" t="s">
        <v>50</v>
      </c>
      <c r="B19" s="51" t="s">
        <v>51</v>
      </c>
      <c r="C19" s="12" t="s">
        <v>52</v>
      </c>
      <c r="D19" s="26" t="s">
        <v>52</v>
      </c>
      <c r="E19" s="36" t="s">
        <v>53</v>
      </c>
      <c r="F19" s="37">
        <v>1</v>
      </c>
      <c r="G19" s="37">
        <v>20</v>
      </c>
      <c r="H19" s="37">
        <f t="shared" si="0"/>
        <v>20</v>
      </c>
      <c r="I19" s="42"/>
    </row>
    <row r="20" spans="1:11" ht="15.75" thickBot="1" x14ac:dyDescent="0.3">
      <c r="A20" s="52"/>
      <c r="B20" s="53"/>
      <c r="C20" s="13" t="s">
        <v>54</v>
      </c>
      <c r="D20" s="27" t="s">
        <v>54</v>
      </c>
      <c r="E20" s="40" t="s">
        <v>53</v>
      </c>
      <c r="F20" s="40">
        <v>1</v>
      </c>
      <c r="G20" s="40">
        <v>20</v>
      </c>
      <c r="H20" s="40">
        <f t="shared" si="0"/>
        <v>20</v>
      </c>
      <c r="I20" s="41"/>
    </row>
    <row r="21" spans="1:11" ht="15.75" thickBot="1" x14ac:dyDescent="0.3">
      <c r="A21" s="54" t="s">
        <v>55</v>
      </c>
      <c r="B21" s="55"/>
      <c r="C21" s="14" t="s">
        <v>56</v>
      </c>
      <c r="D21" s="28" t="s">
        <v>57</v>
      </c>
      <c r="E21" s="43" t="s">
        <v>58</v>
      </c>
      <c r="F21" s="30">
        <v>4</v>
      </c>
      <c r="G21" s="30">
        <v>70</v>
      </c>
      <c r="H21" s="30">
        <f t="shared" si="0"/>
        <v>280</v>
      </c>
      <c r="I21" s="31"/>
      <c r="J21" t="s">
        <v>59</v>
      </c>
      <c r="K21" t="s">
        <v>60</v>
      </c>
    </row>
    <row r="22" spans="1:11" ht="15.75" thickBot="1" x14ac:dyDescent="0.3">
      <c r="A22" s="56" t="s">
        <v>61</v>
      </c>
      <c r="B22" s="57" t="s">
        <v>62</v>
      </c>
      <c r="C22" s="58" t="s">
        <v>63</v>
      </c>
      <c r="D22" s="59"/>
      <c r="E22" s="60" t="s">
        <v>64</v>
      </c>
      <c r="F22" s="61">
        <v>1</v>
      </c>
      <c r="G22" s="61">
        <v>4.5</v>
      </c>
      <c r="H22" s="61">
        <f t="shared" si="0"/>
        <v>4.5</v>
      </c>
      <c r="I22" s="62" t="s">
        <v>65</v>
      </c>
    </row>
    <row r="23" spans="1:11" x14ac:dyDescent="0.25">
      <c r="A23" s="63" t="s">
        <v>66</v>
      </c>
      <c r="B23" s="64" t="s">
        <v>67</v>
      </c>
      <c r="C23" s="64"/>
      <c r="D23" s="64"/>
      <c r="E23" s="67" t="s">
        <v>68</v>
      </c>
      <c r="F23" s="64">
        <f>SUM(F4:F22)</f>
        <v>32</v>
      </c>
      <c r="G23" s="64">
        <v>8.4</v>
      </c>
      <c r="H23" s="64">
        <f t="shared" si="0"/>
        <v>268.8</v>
      </c>
      <c r="I23" s="65"/>
    </row>
    <row r="25" spans="1:11" x14ac:dyDescent="0.25">
      <c r="G25" t="s">
        <v>69</v>
      </c>
      <c r="H25">
        <f>SUM(H4:H23)</f>
        <v>905.3</v>
      </c>
    </row>
    <row r="29" spans="1:11" x14ac:dyDescent="0.25">
      <c r="B29" t="s">
        <v>70</v>
      </c>
      <c r="C29" t="s">
        <v>71</v>
      </c>
    </row>
    <row r="30" spans="1:11" x14ac:dyDescent="0.25">
      <c r="A30" t="s">
        <v>11</v>
      </c>
      <c r="B30">
        <v>10</v>
      </c>
      <c r="C30" s="66" t="s">
        <v>72</v>
      </c>
    </row>
    <row r="31" spans="1:11" x14ac:dyDescent="0.25">
      <c r="A31" t="s">
        <v>23</v>
      </c>
      <c r="B31">
        <v>12</v>
      </c>
      <c r="C31" s="66" t="s">
        <v>73</v>
      </c>
    </row>
    <row r="32" spans="1:11" x14ac:dyDescent="0.25">
      <c r="A32" t="s">
        <v>32</v>
      </c>
      <c r="B32">
        <v>4</v>
      </c>
      <c r="C32" s="66" t="s">
        <v>74</v>
      </c>
      <c r="E32" t="s">
        <v>81</v>
      </c>
    </row>
    <row r="33" spans="1:5" x14ac:dyDescent="0.25">
      <c r="A33" t="s">
        <v>75</v>
      </c>
      <c r="B33">
        <v>3</v>
      </c>
      <c r="C33" s="66" t="s">
        <v>76</v>
      </c>
    </row>
    <row r="34" spans="1:5" x14ac:dyDescent="0.25">
      <c r="A34" t="s">
        <v>77</v>
      </c>
      <c r="B34">
        <v>3</v>
      </c>
      <c r="C34" s="66" t="s">
        <v>78</v>
      </c>
    </row>
    <row r="35" spans="1:5" x14ac:dyDescent="0.25">
      <c r="A35" t="s">
        <v>79</v>
      </c>
      <c r="B35">
        <v>2</v>
      </c>
      <c r="C35" s="66" t="s">
        <v>80</v>
      </c>
    </row>
    <row r="36" spans="1:5" x14ac:dyDescent="0.25">
      <c r="B36">
        <v>32</v>
      </c>
      <c r="C36" s="66" t="s">
        <v>82</v>
      </c>
      <c r="E36" t="s">
        <v>83</v>
      </c>
    </row>
  </sheetData>
  <mergeCells count="6">
    <mergeCell ref="A4:A10"/>
    <mergeCell ref="B4:B10"/>
    <mergeCell ref="A11:A12"/>
    <mergeCell ref="B11:B12"/>
    <mergeCell ref="A13:A16"/>
    <mergeCell ref="B13:B16"/>
  </mergeCells>
  <hyperlinks>
    <hyperlink ref="E17" r:id="rId1" xr:uid="{297EE30B-750B-413C-8D89-D598C1F4B4A0}"/>
    <hyperlink ref="E19" r:id="rId2" xr:uid="{DE51350F-4D25-4E7E-8D31-AEDDC1D1779B}"/>
    <hyperlink ref="I4" r:id="rId3" xr:uid="{5344FC82-A140-407F-A689-46F60657DF75}"/>
    <hyperlink ref="I13" r:id="rId4" display="https://www.amazon.com/Kiro-Seeu-Thermocouple-Temperature-Compatible/dp/B09B267DRP/ref=vse_cards_0?_encoding=UTF8&amp;pd_rd_w=5JWcC&amp;content-id=amzn1.sym.26dedd2b-540b-4bff-af75-7fea8d8f8913&amp;pf_rd_p=26dedd2b-540b-4bff-af75-7fea8d8f8913&amp;pf_rd_r=VAZ3YFQ71EWV4JSVPTN7&amp;pd_rd_wg=9Jbbr&amp;pd_rd_r=c2afaf0b-86b1-420d-8172-a51e7ee21d06" xr:uid="{87B9344F-542F-4391-B85D-5F599A6A586E}"/>
    <hyperlink ref="I22" r:id="rId5" xr:uid="{A20913E7-E6AA-4EDF-A60E-F7A855333F0F}"/>
    <hyperlink ref="E18" r:id="rId6" xr:uid="{94BCCD34-8324-41C6-9DB9-338F9BF24F3A}"/>
    <hyperlink ref="E21" r:id="rId7" xr:uid="{118BCF7D-5EFD-4E2D-9998-42A795277622}"/>
    <hyperlink ref="E4" r:id="rId8" xr:uid="{3CFADABC-3F75-4CE1-B3FF-D676C14E5C24}"/>
    <hyperlink ref="I11" r:id="rId9" xr:uid="{8BEE1321-0BC7-424A-988C-D1252945A593}"/>
    <hyperlink ref="E12" r:id="rId10" xr:uid="{6AA50BE3-31EC-4768-B814-7107E51D8A1D}"/>
    <hyperlink ref="I17" r:id="rId11" xr:uid="{3F6642BF-B2A7-4732-A9DF-B976429EE234}"/>
    <hyperlink ref="I18" r:id="rId12" xr:uid="{7931AFC9-5527-41EB-A0EE-595D36C74A0D}"/>
    <hyperlink ref="E23" r:id="rId13" xr:uid="{778E0A01-509A-4939-9038-C906D8C833FA}"/>
    <hyperlink ref="E22" r:id="rId14" xr:uid="{FF030046-9069-41EF-9048-348159BE5DAF}"/>
    <hyperlink ref="E11" r:id="rId15" xr:uid="{5C78054B-A844-4C90-A9B2-79427D0BF412}"/>
    <hyperlink ref="E13" r:id="rId16" xr:uid="{395D769B-D6D4-4705-9838-9F3B69420282}"/>
    <hyperlink ref="C30" r:id="rId17" xr:uid="{B9B964D5-383C-427F-AA12-862855FADEFC}"/>
    <hyperlink ref="C31" r:id="rId18" xr:uid="{60FCB58B-4A54-45E6-84D0-F870D8E7D071}"/>
    <hyperlink ref="C32" r:id="rId19" xr:uid="{ECD763E6-CE95-4558-8704-C1B9F8BDE4CE}"/>
    <hyperlink ref="C33" r:id="rId20" xr:uid="{E62029CC-41D2-45DE-85DE-8A5DB85C21A7}"/>
    <hyperlink ref="C34" r:id="rId21" xr:uid="{CA048DE6-50CC-4F42-A71D-A7D39EA6744F}"/>
    <hyperlink ref="C35" r:id="rId22" xr:uid="{D57E9F82-5541-4BF4-93EC-67DB1E77DCE2}"/>
    <hyperlink ref="C36" r:id="rId23" display="https://eu.mouser.com/ProductDetail/Espressif-Systems/ESP32-DevKitC-VIE?qs=vmHwEFxEFR%252B9L5ZhUgeToA%3D%3D&amp;countryCode=DE&amp;currencyCode=EUR" xr:uid="{F4112253-0C58-4CF2-86C4-E36B5A85EAF6}"/>
  </hyperlinks>
  <pageMargins left="0.7" right="0.7" top="0.75" bottom="0.75" header="0.3" footer="0.3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Kodrič, Miha</dc:creator>
  <cp:keywords/>
  <dc:description/>
  <cp:lastModifiedBy>Kodrič, Miha</cp:lastModifiedBy>
  <cp:revision/>
  <dcterms:created xsi:type="dcterms:W3CDTF">2025-05-30T10:30:14Z</dcterms:created>
  <dcterms:modified xsi:type="dcterms:W3CDTF">2025-07-24T08:08:27Z</dcterms:modified>
  <cp:category/>
  <cp:contentStatus/>
</cp:coreProperties>
</file>